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\ZAP_Master\"/>
    </mc:Choice>
  </mc:AlternateContent>
  <xr:revisionPtr revIDLastSave="0" documentId="13_ncr:1_{ADAAE3C7-F69C-437E-8DF9-7938F1EC623F}" xr6:coauthVersionLast="47" xr6:coauthVersionMax="47" xr10:uidLastSave="{00000000-0000-0000-0000-000000000000}"/>
  <bookViews>
    <workbookView xWindow="24960" yWindow="2325" windowWidth="24180" windowHeight="20130" xr2:uid="{1D7E9ECF-6FEA-444D-BBB0-062E7E7A32F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25" i="1"/>
  <c r="J11" i="1"/>
  <c r="J9" i="1"/>
  <c r="J7" i="1"/>
  <c r="J4" i="1"/>
  <c r="B23" i="1"/>
  <c r="B25" i="1" s="1"/>
  <c r="G8" i="1"/>
  <c r="G12" i="1"/>
  <c r="G14" i="1"/>
  <c r="G6" i="1"/>
  <c r="B19" i="1"/>
  <c r="B15" i="1"/>
  <c r="G15" i="1" s="1"/>
  <c r="B9" i="1"/>
  <c r="B10" i="1" s="1"/>
  <c r="B7" i="1"/>
  <c r="G7" i="1" s="1"/>
  <c r="B16" i="1" l="1"/>
  <c r="B11" i="1"/>
  <c r="G11" i="1" s="1"/>
  <c r="G10" i="1"/>
  <c r="G9" i="1"/>
  <c r="B13" i="1"/>
  <c r="G13" i="1" s="1"/>
  <c r="G16" i="1" l="1"/>
  <c r="B17" i="1"/>
</calcChain>
</file>

<file path=xl/sharedStrings.xml><?xml version="1.0" encoding="utf-8"?>
<sst xmlns="http://schemas.openxmlformats.org/spreadsheetml/2006/main" count="58" uniqueCount="54">
  <si>
    <t>4.Klasse</t>
  </si>
  <si>
    <t>Halbjahreskurs</t>
  </si>
  <si>
    <t>Gymizentrum</t>
  </si>
  <si>
    <t>Totalzeit</t>
  </si>
  <si>
    <t>min</t>
  </si>
  <si>
    <t>Preis</t>
  </si>
  <si>
    <t>Preis/Min</t>
  </si>
  <si>
    <t>Lernecke</t>
  </si>
  <si>
    <t>Zeit / Einheit</t>
  </si>
  <si>
    <t>Mathe</t>
  </si>
  <si>
    <t>Pause</t>
  </si>
  <si>
    <t>Deutsch</t>
  </si>
  <si>
    <t>Spiel</t>
  </si>
  <si>
    <t>Ostern+</t>
  </si>
  <si>
    <t>Karwoche</t>
  </si>
  <si>
    <t>Sommerferien</t>
  </si>
  <si>
    <t>Samstags</t>
  </si>
  <si>
    <t>Frühings</t>
  </si>
  <si>
    <t>ferien</t>
  </si>
  <si>
    <t>Die Serie beginnt nach den Sportferien und endet vor den Sommerferien.</t>
  </si>
  <si>
    <t>Periode</t>
  </si>
  <si>
    <t>Datum</t>
  </si>
  <si>
    <t>Auswirkung auf die Termine</t>
  </si>
  <si>
    <t>Sportferien</t>
  </si>
  <si>
    <t>15.–26.02.2027</t>
  </si>
  <si>
    <t>vor dem Start der Konkurrenz</t>
  </si>
  <si>
    <r>
      <t>Ostern</t>
    </r>
    <r>
      <rPr>
        <sz val="11"/>
        <color theme="1"/>
        <rFont val="Aptos Narrow"/>
        <family val="2"/>
        <scheme val="minor"/>
      </rPr>
      <t xml:space="preserve"> (Gründonnerstag–Ostermontag)</t>
    </r>
  </si>
  <si>
    <t>25.–29.03.2027</t>
  </si>
  <si>
    <r>
      <t>übersprungen</t>
    </r>
    <r>
      <rPr>
        <sz val="11"/>
        <color theme="1"/>
        <rFont val="Aptos Narrow"/>
        <family val="2"/>
        <scheme val="minor"/>
      </rPr>
      <t>: 20.03. und 27.03. fehlen bewusst</t>
    </r>
  </si>
  <si>
    <t>Sechseläuten</t>
  </si>
  <si>
    <t>19.04.2027 (Montag)</t>
  </si>
  <si>
    <t>fällt nicht auf einen Konkurrenz-Samstag</t>
  </si>
  <si>
    <t>Frühlingsferien</t>
  </si>
  <si>
    <t>26.04.–07.05.2027</t>
  </si>
  <si>
    <r>
      <t>übersprungen</t>
    </r>
    <r>
      <rPr>
        <sz val="11"/>
        <color theme="1"/>
        <rFont val="Aptos Narrow"/>
        <family val="2"/>
        <scheme val="minor"/>
      </rPr>
      <t>: 01.05. und 08.05. fehlen</t>
    </r>
  </si>
  <si>
    <t>Pfingstmontag</t>
  </si>
  <si>
    <r>
      <t>übersprungen</t>
    </r>
    <r>
      <rPr>
        <sz val="11"/>
        <color theme="1"/>
        <rFont val="Aptos Narrow"/>
        <family val="2"/>
        <scheme val="minor"/>
      </rPr>
      <t>: 15.05. fehlt (Samstag davor)</t>
    </r>
  </si>
  <si>
    <t>nach dem letzten Termin (10.07.)</t>
  </si>
  <si>
    <r>
      <t xml:space="preserve">Sommerferien </t>
    </r>
    <r>
      <rPr>
        <sz val="11"/>
        <color theme="1"/>
        <rFont val="Aptos Narrow"/>
        <family val="2"/>
        <scheme val="minor"/>
      </rPr>
      <t>ab 19.07.2027</t>
    </r>
  </si>
  <si>
    <t>Um Ostern herum werden zwei Samstage ausgelassen.</t>
  </si>
  <si>
    <t>Während der Frühlingsferien und um Pfingsten herum werden drei Samstage ausgelassen.</t>
  </si>
  <si>
    <t>Total</t>
  </si>
  <si>
    <t>Termine</t>
  </si>
  <si>
    <t>KW</t>
  </si>
  <si>
    <t>Samstag</t>
  </si>
  <si>
    <t>Mitwoch</t>
  </si>
  <si>
    <t>Fürhlingsferien</t>
  </si>
  <si>
    <t>Zürich</t>
  </si>
  <si>
    <t>Winterthur</t>
  </si>
  <si>
    <t>KW 7 und 8</t>
  </si>
  <si>
    <t>KW 6 und 7</t>
  </si>
  <si>
    <t>8-21.02</t>
  </si>
  <si>
    <t>Februar</t>
  </si>
  <si>
    <t>15-28.02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</si>
</sst>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14" fontId="2" fillId="2" borderId="0" xfId="0" applyNumberFormat="1" applyFont="1" applyFill="1"/>
    <xf numFmtId="14" fontId="2" fillId="0" borderId="0" xfId="0" applyNumberFormat="1" applyFont="1"/>
    <xf numFmtId="14" fontId="2" fillId="3" borderId="0" xfId="0" applyNumberFormat="1" applyFont="1" applyFill="1"/>
    <xf numFmtId="0" fontId="3" fillId="0" borderId="0" xfId="0" applyFont="1"/>
    <xf numFmtId="2" fontId="2" fillId="0" borderId="0" xfId="0" applyNumberFormat="1" applyFont="1"/>
    <xf numFmtId="20" fontId="2" fillId="0" borderId="0" xfId="0" applyNumberFormat="1" applyFont="1"/>
    <xf numFmtId="20" fontId="2" fillId="3" borderId="0" xfId="0" applyNumberFormat="1" applyFont="1" applyFill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Border="1"/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Border="1" applyAlignment="1"/>
    <xf numFmtId="0" fontId="1" fillId="0" borderId="5" xfId="0" applyFont="1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/>
    <xf numFmtId="14" fontId="2" fillId="5" borderId="0" xfId="0" applyNumberFormat="1" applyFont="1" applyFill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4" borderId="0" xfId="0" applyFill="1" applyBorder="1" applyAlignment="1"/>
    <xf numFmtId="169" fontId="2" fillId="0" borderId="0" xfId="0" applyNumberFormat="1" applyFont="1"/>
    <xf numFmtId="14" fontId="2" fillId="0" borderId="0" xfId="0" applyNumberFormat="1" applyFont="1" applyFill="1"/>
    <xf numFmtId="0" fontId="2" fillId="0" borderId="0" xfId="0" applyFont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D048-1531-486B-951B-BFFA351ED6C1}">
  <dimension ref="A2:P36"/>
  <sheetViews>
    <sheetView tabSelected="1" workbookViewId="0">
      <selection activeCell="J22" sqref="J22:K23"/>
    </sheetView>
  </sheetViews>
  <sheetFormatPr baseColWidth="10" defaultRowHeight="14.25" x14ac:dyDescent="0.2"/>
  <cols>
    <col min="1" max="1" width="11.42578125" style="1"/>
    <col min="2" max="2" width="15" style="1" customWidth="1"/>
    <col min="3" max="3" width="15.85546875" style="1" customWidth="1"/>
    <col min="4" max="4" width="14" style="1" customWidth="1"/>
    <col min="5" max="5" width="25.140625" style="1" customWidth="1"/>
    <col min="6" max="6" width="6" style="1" customWidth="1"/>
    <col min="7" max="7" width="11.42578125" style="1"/>
    <col min="8" max="8" width="7.28515625" style="1" customWidth="1"/>
    <col min="9" max="16384" width="11.42578125" style="1"/>
  </cols>
  <sheetData>
    <row r="2" spans="1:16" x14ac:dyDescent="0.2">
      <c r="B2" s="1" t="s">
        <v>0</v>
      </c>
    </row>
    <row r="3" spans="1:16" x14ac:dyDescent="0.2">
      <c r="B3" s="1" t="s">
        <v>1</v>
      </c>
      <c r="I3" s="7">
        <v>0.36458333333333331</v>
      </c>
      <c r="M3" s="1" t="s">
        <v>42</v>
      </c>
    </row>
    <row r="4" spans="1:16" x14ac:dyDescent="0.2">
      <c r="B4" s="1" t="s">
        <v>2</v>
      </c>
      <c r="G4" s="1" t="s">
        <v>7</v>
      </c>
      <c r="I4" s="7">
        <v>0.39583333333333331</v>
      </c>
      <c r="J4" s="7">
        <f>I4-I3</f>
        <v>3.125E-2</v>
      </c>
      <c r="K4" s="1" t="s">
        <v>9</v>
      </c>
      <c r="L4" s="32" t="s">
        <v>43</v>
      </c>
      <c r="M4" s="31" t="s">
        <v>44</v>
      </c>
      <c r="N4" s="31" t="s">
        <v>45</v>
      </c>
    </row>
    <row r="5" spans="1:16" ht="15" x14ac:dyDescent="0.25">
      <c r="B5" s="5" t="s">
        <v>16</v>
      </c>
      <c r="G5" s="5" t="s">
        <v>16</v>
      </c>
      <c r="H5" s="32" t="s">
        <v>43</v>
      </c>
      <c r="I5" s="7"/>
      <c r="J5" s="7"/>
      <c r="L5" s="30">
        <v>10</v>
      </c>
      <c r="M5" s="3">
        <v>46459</v>
      </c>
      <c r="N5" s="3">
        <v>46456</v>
      </c>
      <c r="P5" s="1">
        <v>1</v>
      </c>
    </row>
    <row r="6" spans="1:16" x14ac:dyDescent="0.2">
      <c r="A6" s="1">
        <v>1</v>
      </c>
      <c r="B6" s="2">
        <v>46459</v>
      </c>
      <c r="D6" s="3">
        <v>46471</v>
      </c>
      <c r="E6" s="1" t="s">
        <v>13</v>
      </c>
      <c r="F6" s="1">
        <v>1</v>
      </c>
      <c r="G6" s="3">
        <f>B6</f>
        <v>46459</v>
      </c>
      <c r="H6" s="30">
        <v>10</v>
      </c>
      <c r="I6" s="8">
        <v>0.40277777777777779</v>
      </c>
      <c r="K6" s="1" t="s">
        <v>10</v>
      </c>
      <c r="L6" s="30">
        <v>11</v>
      </c>
      <c r="M6" s="3">
        <v>46466</v>
      </c>
      <c r="N6" s="3">
        <v>46463</v>
      </c>
      <c r="P6" s="1">
        <v>2</v>
      </c>
    </row>
    <row r="7" spans="1:16" x14ac:dyDescent="0.2">
      <c r="A7" s="1">
        <v>2</v>
      </c>
      <c r="B7" s="2">
        <f>B6+7</f>
        <v>46466</v>
      </c>
      <c r="D7" s="3">
        <v>46475</v>
      </c>
      <c r="E7" s="1" t="s">
        <v>14</v>
      </c>
      <c r="F7" s="1">
        <v>2</v>
      </c>
      <c r="G7" s="3">
        <f t="shared" ref="G7:G17" si="0">B7</f>
        <v>46466</v>
      </c>
      <c r="H7" s="30">
        <v>11</v>
      </c>
      <c r="I7" s="7">
        <v>0.43402777777777779</v>
      </c>
      <c r="J7" s="7">
        <f>I7-I6</f>
        <v>3.125E-2</v>
      </c>
      <c r="L7" s="30">
        <v>13</v>
      </c>
      <c r="M7" s="24">
        <v>46480</v>
      </c>
      <c r="N7" s="24">
        <v>46478</v>
      </c>
      <c r="P7" s="1">
        <v>3</v>
      </c>
    </row>
    <row r="8" spans="1:16" x14ac:dyDescent="0.2">
      <c r="A8" s="1">
        <v>3</v>
      </c>
      <c r="B8" s="4">
        <v>46480</v>
      </c>
      <c r="F8" s="1">
        <v>3</v>
      </c>
      <c r="G8" s="24">
        <f t="shared" si="0"/>
        <v>46480</v>
      </c>
      <c r="H8" s="30">
        <v>13</v>
      </c>
      <c r="I8" s="8">
        <v>0.44097222222222221</v>
      </c>
      <c r="K8" s="1" t="s">
        <v>11</v>
      </c>
      <c r="L8" s="30">
        <v>14</v>
      </c>
      <c r="M8" s="24">
        <v>46487</v>
      </c>
      <c r="N8" s="24">
        <v>46484</v>
      </c>
      <c r="P8" s="1">
        <v>4</v>
      </c>
    </row>
    <row r="9" spans="1:16" x14ac:dyDescent="0.2">
      <c r="A9" s="1">
        <v>4</v>
      </c>
      <c r="B9" s="4">
        <f t="shared" ref="B9:B13" si="1">B8+7</f>
        <v>46487</v>
      </c>
      <c r="F9" s="1">
        <v>4</v>
      </c>
      <c r="G9" s="24">
        <f t="shared" si="0"/>
        <v>46487</v>
      </c>
      <c r="H9" s="30">
        <v>14</v>
      </c>
      <c r="I9" s="7">
        <v>0.46875</v>
      </c>
      <c r="J9" s="7">
        <f>I9-I8</f>
        <v>2.777777777777779E-2</v>
      </c>
      <c r="K9" s="1" t="s">
        <v>12</v>
      </c>
      <c r="L9" s="30">
        <v>15</v>
      </c>
      <c r="M9" s="24">
        <v>46494</v>
      </c>
      <c r="N9" s="24">
        <v>46491</v>
      </c>
      <c r="P9" s="1">
        <v>5</v>
      </c>
    </row>
    <row r="10" spans="1:16" x14ac:dyDescent="0.2">
      <c r="A10" s="1">
        <v>5</v>
      </c>
      <c r="B10" s="4">
        <f t="shared" si="1"/>
        <v>46494</v>
      </c>
      <c r="F10" s="1">
        <v>5</v>
      </c>
      <c r="G10" s="24">
        <f t="shared" si="0"/>
        <v>46494</v>
      </c>
      <c r="H10" s="30">
        <v>15</v>
      </c>
      <c r="L10" s="30">
        <v>16</v>
      </c>
      <c r="M10" s="24">
        <v>46501</v>
      </c>
      <c r="N10" s="24">
        <v>46497</v>
      </c>
      <c r="P10" s="1">
        <v>6</v>
      </c>
    </row>
    <row r="11" spans="1:16" x14ac:dyDescent="0.2">
      <c r="A11" s="1">
        <v>6</v>
      </c>
      <c r="B11" s="4">
        <f t="shared" si="1"/>
        <v>46501</v>
      </c>
      <c r="D11" s="3">
        <v>46503</v>
      </c>
      <c r="E11" s="1" t="s">
        <v>17</v>
      </c>
      <c r="F11" s="1">
        <v>6</v>
      </c>
      <c r="G11" s="24">
        <f t="shared" si="0"/>
        <v>46501</v>
      </c>
      <c r="H11" s="30">
        <v>16</v>
      </c>
      <c r="I11" s="1" t="s">
        <v>41</v>
      </c>
      <c r="J11" s="7">
        <f>I9-I3</f>
        <v>0.10416666666666669</v>
      </c>
      <c r="L11" s="30">
        <v>20</v>
      </c>
      <c r="M11" s="3">
        <v>46529</v>
      </c>
      <c r="N11" s="3">
        <v>46526</v>
      </c>
      <c r="P11" s="1">
        <v>7</v>
      </c>
    </row>
    <row r="12" spans="1:16" x14ac:dyDescent="0.2">
      <c r="A12" s="1">
        <v>7</v>
      </c>
      <c r="B12" s="3">
        <v>46529</v>
      </c>
      <c r="D12" s="3">
        <v>46514</v>
      </c>
      <c r="E12" s="1" t="s">
        <v>18</v>
      </c>
      <c r="F12" s="1">
        <v>7</v>
      </c>
      <c r="G12" s="3">
        <f t="shared" si="0"/>
        <v>46529</v>
      </c>
      <c r="H12" s="30">
        <v>20</v>
      </c>
      <c r="J12" s="1">
        <v>150</v>
      </c>
      <c r="K12" s="1" t="s">
        <v>4</v>
      </c>
      <c r="L12" s="30">
        <v>21</v>
      </c>
      <c r="M12" s="3">
        <v>46536</v>
      </c>
      <c r="N12" s="3">
        <v>46533</v>
      </c>
      <c r="P12" s="1">
        <v>8</v>
      </c>
    </row>
    <row r="13" spans="1:16" x14ac:dyDescent="0.2">
      <c r="A13" s="1">
        <v>8</v>
      </c>
      <c r="B13" s="3">
        <f t="shared" si="1"/>
        <v>46536</v>
      </c>
      <c r="F13" s="1">
        <v>8</v>
      </c>
      <c r="G13" s="3">
        <f t="shared" si="0"/>
        <v>46536</v>
      </c>
      <c r="H13" s="30">
        <v>21</v>
      </c>
      <c r="L13" s="30">
        <v>22</v>
      </c>
      <c r="M13" s="24">
        <v>39238</v>
      </c>
      <c r="N13" s="24">
        <v>39235</v>
      </c>
      <c r="P13" s="1">
        <v>9</v>
      </c>
    </row>
    <row r="14" spans="1:16" x14ac:dyDescent="0.2">
      <c r="A14" s="1">
        <v>9</v>
      </c>
      <c r="B14" s="4">
        <v>39238</v>
      </c>
      <c r="F14" s="1">
        <v>9</v>
      </c>
      <c r="G14" s="24">
        <f t="shared" si="0"/>
        <v>39238</v>
      </c>
      <c r="H14" s="30">
        <v>22</v>
      </c>
      <c r="L14" s="30">
        <v>23</v>
      </c>
      <c r="M14" s="24">
        <v>39245</v>
      </c>
      <c r="N14" s="24">
        <v>39242</v>
      </c>
      <c r="P14" s="1">
        <v>10</v>
      </c>
    </row>
    <row r="15" spans="1:16" x14ac:dyDescent="0.2">
      <c r="A15" s="1">
        <v>10</v>
      </c>
      <c r="B15" s="4">
        <f>B14+7</f>
        <v>39245</v>
      </c>
      <c r="F15" s="1">
        <v>10</v>
      </c>
      <c r="G15" s="24">
        <f t="shared" si="0"/>
        <v>39245</v>
      </c>
      <c r="H15" s="30">
        <v>23</v>
      </c>
      <c r="L15" s="30">
        <v>24</v>
      </c>
      <c r="M15" s="24">
        <v>39252</v>
      </c>
      <c r="N15" s="24">
        <v>39249</v>
      </c>
      <c r="P15" s="1">
        <v>11</v>
      </c>
    </row>
    <row r="16" spans="1:16" x14ac:dyDescent="0.2">
      <c r="A16" s="1">
        <v>11</v>
      </c>
      <c r="B16" s="4">
        <f>B15+7</f>
        <v>39252</v>
      </c>
      <c r="F16" s="1">
        <v>11</v>
      </c>
      <c r="G16" s="24">
        <f t="shared" si="0"/>
        <v>39252</v>
      </c>
      <c r="H16" s="30">
        <v>24</v>
      </c>
      <c r="L16" s="30"/>
    </row>
    <row r="17" spans="1:12" x14ac:dyDescent="0.2">
      <c r="A17" s="1">
        <v>12</v>
      </c>
      <c r="B17" s="4">
        <f>B16+7</f>
        <v>39259</v>
      </c>
      <c r="G17" s="29"/>
    </row>
    <row r="18" spans="1:12" x14ac:dyDescent="0.2">
      <c r="A18" s="1">
        <v>13</v>
      </c>
      <c r="B18" s="3">
        <v>46571</v>
      </c>
    </row>
    <row r="19" spans="1:12" x14ac:dyDescent="0.2">
      <c r="A19" s="1">
        <v>14</v>
      </c>
      <c r="B19" s="3">
        <f>B18+7</f>
        <v>46578</v>
      </c>
      <c r="D19" s="3">
        <v>46587</v>
      </c>
      <c r="E19" s="1" t="s">
        <v>15</v>
      </c>
    </row>
    <row r="20" spans="1:12" x14ac:dyDescent="0.2">
      <c r="B20" s="3"/>
    </row>
    <row r="21" spans="1:12" ht="15" x14ac:dyDescent="0.25">
      <c r="J21" s="5" t="s">
        <v>46</v>
      </c>
      <c r="L21" s="1" t="s">
        <v>52</v>
      </c>
    </row>
    <row r="22" spans="1:12" x14ac:dyDescent="0.2">
      <c r="A22" s="1" t="s">
        <v>8</v>
      </c>
      <c r="B22" s="1">
        <v>90</v>
      </c>
      <c r="C22" s="1" t="s">
        <v>4</v>
      </c>
      <c r="J22" s="1" t="s">
        <v>47</v>
      </c>
      <c r="K22" s="1" t="s">
        <v>49</v>
      </c>
      <c r="L22" s="1" t="s">
        <v>53</v>
      </c>
    </row>
    <row r="23" spans="1:12" x14ac:dyDescent="0.2">
      <c r="A23" s="1" t="s">
        <v>3</v>
      </c>
      <c r="B23" s="1">
        <f>A19*B22</f>
        <v>1260</v>
      </c>
      <c r="C23" s="1" t="s">
        <v>4</v>
      </c>
      <c r="G23" s="1">
        <f>F16*J12</f>
        <v>1650</v>
      </c>
      <c r="J23" s="1" t="s">
        <v>48</v>
      </c>
      <c r="K23" s="1" t="s">
        <v>50</v>
      </c>
      <c r="L23" s="1" t="s">
        <v>51</v>
      </c>
    </row>
    <row r="24" spans="1:12" ht="15" x14ac:dyDescent="0.25">
      <c r="A24" s="1" t="s">
        <v>5</v>
      </c>
      <c r="B24" s="5">
        <v>2450</v>
      </c>
      <c r="G24" s="1">
        <v>3000</v>
      </c>
    </row>
    <row r="25" spans="1:12" x14ac:dyDescent="0.2">
      <c r="A25" s="1" t="s">
        <v>6</v>
      </c>
      <c r="B25" s="6">
        <f>B24/B23</f>
        <v>1.9444444444444444</v>
      </c>
      <c r="G25" s="28">
        <f>G24/G23</f>
        <v>1.8181818181818181</v>
      </c>
    </row>
    <row r="27" spans="1:12" ht="15" x14ac:dyDescent="0.25">
      <c r="A27" t="s">
        <v>19</v>
      </c>
    </row>
    <row r="28" spans="1:12" ht="15" x14ac:dyDescent="0.25">
      <c r="A28" t="s">
        <v>39</v>
      </c>
    </row>
    <row r="29" spans="1:12" ht="15" x14ac:dyDescent="0.25">
      <c r="A29" t="s">
        <v>40</v>
      </c>
    </row>
    <row r="30" spans="1:12" ht="30" x14ac:dyDescent="0.2">
      <c r="B30" s="9" t="s">
        <v>20</v>
      </c>
      <c r="C30" s="10"/>
      <c r="D30" s="11" t="s">
        <v>21</v>
      </c>
      <c r="E30" s="12" t="s">
        <v>22</v>
      </c>
      <c r="F30" s="25"/>
    </row>
    <row r="31" spans="1:12" ht="33.75" customHeight="1" x14ac:dyDescent="0.2">
      <c r="B31" s="13" t="s">
        <v>23</v>
      </c>
      <c r="C31" s="14"/>
      <c r="D31" s="15" t="s">
        <v>24</v>
      </c>
      <c r="E31" s="16" t="s">
        <v>25</v>
      </c>
      <c r="F31" s="15"/>
    </row>
    <row r="32" spans="1:12" ht="46.5" customHeight="1" x14ac:dyDescent="0.25">
      <c r="B32" s="17" t="s">
        <v>26</v>
      </c>
      <c r="C32" s="18"/>
      <c r="D32" s="15" t="s">
        <v>27</v>
      </c>
      <c r="E32" s="19" t="s">
        <v>28</v>
      </c>
      <c r="F32" s="26"/>
    </row>
    <row r="33" spans="2:6" ht="39.75" customHeight="1" x14ac:dyDescent="0.2">
      <c r="B33" s="13" t="s">
        <v>29</v>
      </c>
      <c r="C33" s="14"/>
      <c r="D33" s="15" t="s">
        <v>30</v>
      </c>
      <c r="E33" s="16" t="s">
        <v>31</v>
      </c>
      <c r="F33" s="15"/>
    </row>
    <row r="34" spans="2:6" ht="47.25" customHeight="1" x14ac:dyDescent="0.2">
      <c r="B34" s="13" t="s">
        <v>32</v>
      </c>
      <c r="C34" s="14"/>
      <c r="D34" s="15" t="s">
        <v>33</v>
      </c>
      <c r="E34" s="19" t="s">
        <v>34</v>
      </c>
      <c r="F34" s="26"/>
    </row>
    <row r="35" spans="2:6" ht="30" x14ac:dyDescent="0.2">
      <c r="B35" s="13" t="s">
        <v>35</v>
      </c>
      <c r="C35" s="14"/>
      <c r="D35" s="20">
        <v>46524</v>
      </c>
      <c r="E35" s="19" t="s">
        <v>36</v>
      </c>
      <c r="F35" s="26"/>
    </row>
    <row r="36" spans="2:6" ht="15" x14ac:dyDescent="0.25">
      <c r="B36" s="21" t="s">
        <v>38</v>
      </c>
      <c r="C36" s="22"/>
      <c r="D36" s="22" t="s">
        <v>37</v>
      </c>
      <c r="E36" s="23"/>
      <c r="F36" s="27"/>
    </row>
  </sheetData>
  <mergeCells count="3">
    <mergeCell ref="B32:C32"/>
    <mergeCell ref="B36:C36"/>
    <mergeCell ref="D36:E36"/>
  </mergeCells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Gimeno Raúl Diego</dc:creator>
  <cp:lastModifiedBy>Gimeno Raúl Diego</cp:lastModifiedBy>
  <dcterms:created xsi:type="dcterms:W3CDTF">2026-07-25T07:17:23Z</dcterms:created>
  <dcterms:modified xsi:type="dcterms:W3CDTF">2026-07-25T20:03:48Z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632a45-2c5b-48ac-84ab-9b136753159c_Enabled">
    <vt:lpwstr>true</vt:lpwstr>
  </property>
  <property fmtid="{D5CDD505-2E9C-101B-9397-08002B2CF9AE}" pid="3" name="MSIP_Label_84632a45-2c5b-48ac-84ab-9b136753159c_SetDate">
    <vt:lpwstr>2026-07-25T09:02:14Z</vt:lpwstr>
  </property>
  <property fmtid="{D5CDD505-2E9C-101B-9397-08002B2CF9AE}" pid="4" name="MSIP_Label_84632a45-2c5b-48ac-84ab-9b136753159c_Method">
    <vt:lpwstr>Standard</vt:lpwstr>
  </property>
  <property fmtid="{D5CDD505-2E9C-101B-9397-08002B2CF9AE}" pid="5" name="MSIP_Label_84632a45-2c5b-48ac-84ab-9b136753159c_Name">
    <vt:lpwstr>Intern</vt:lpwstr>
  </property>
  <property fmtid="{D5CDD505-2E9C-101B-9397-08002B2CF9AE}" pid="6" name="MSIP_Label_84632a45-2c5b-48ac-84ab-9b136753159c_SiteId">
    <vt:lpwstr>d6a1cf8c-768e-4187-a738-b6e50c4deb4a</vt:lpwstr>
  </property>
  <property fmtid="{D5CDD505-2E9C-101B-9397-08002B2CF9AE}" pid="7" name="MSIP_Label_84632a45-2c5b-48ac-84ab-9b136753159c_ActionId">
    <vt:lpwstr>a34e81de-68da-435f-928a-54af12abbf24</vt:lpwstr>
  </property>
  <property fmtid="{D5CDD505-2E9C-101B-9397-08002B2CF9AE}" pid="8" name="MSIP_Label_84632a45-2c5b-48ac-84ab-9b136753159c_ContentBits">
    <vt:lpwstr>0</vt:lpwstr>
  </property>
  <property fmtid="{D5CDD505-2E9C-101B-9397-08002B2CF9AE}" pid="9" name="MSIP_Label_84632a45-2c5b-48ac-84ab-9b136753159c_Tag">
    <vt:lpwstr>10, 3, 0, 1</vt:lpwstr>
  </property>
</Properties>
</file>